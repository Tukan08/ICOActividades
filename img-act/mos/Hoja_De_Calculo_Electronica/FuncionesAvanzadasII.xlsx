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  <Override PartName="/docProps/app.xml" ContentType="application/vnd.openxmlformats-officedocument.extended-properties+xml"/>
  <Override PartName="/xl/drawings/drawing2.xml" ContentType="application/vnd.openxmlformats-officedocument.drawing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FuncionesBD" sheetId="1" state="visible" r:id="rId1"/>
    <sheet name="BaseLibros" sheetId="2" state="visible" r:id="rId2"/>
    <sheet name="FuncionBuscar" sheetId="3" state="visible" r:id="rId3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<sst xmlns="http://schemas.openxmlformats.org/spreadsheetml/2006/main" count="107" uniqueCount="107">
  <si>
    <t>Nombre</t>
  </si>
  <si>
    <t>Edad</t>
  </si>
  <si>
    <t>Sexo</t>
  </si>
  <si>
    <t>Adeudo</t>
  </si>
  <si>
    <t>Calificación</t>
  </si>
  <si>
    <t xml:space="preserve">Tipo de Evaluación</t>
  </si>
  <si>
    <t xml:space="preserve">Cristina Perez</t>
  </si>
  <si>
    <t>F</t>
  </si>
  <si>
    <t>Extraordinario</t>
  </si>
  <si>
    <t xml:space="preserve">Emanuel Franco</t>
  </si>
  <si>
    <t>M</t>
  </si>
  <si>
    <t>Ordinario</t>
  </si>
  <si>
    <t xml:space="preserve">Dionicio Tellez</t>
  </si>
  <si>
    <t xml:space="preserve">Patricia Huerta</t>
  </si>
  <si>
    <t xml:space="preserve">Xochitl Alcaraz</t>
  </si>
  <si>
    <t xml:space="preserve">Emma Villegas</t>
  </si>
  <si>
    <t xml:space="preserve">Daniel Romero</t>
  </si>
  <si>
    <t xml:space="preserve">Santo Córdoba</t>
  </si>
  <si>
    <t xml:space="preserve">Criterios (Datos que se desean consultar)</t>
  </si>
  <si>
    <t xml:space="preserve">Tipo de evaluación</t>
  </si>
  <si>
    <t xml:space="preserve">DAEBERÁS CALCULAR:</t>
  </si>
  <si>
    <t xml:space="preserve">Calcular la cantidad de los alumnos que tienen 17 años:</t>
  </si>
  <si>
    <t>BDCONTAR</t>
  </si>
  <si>
    <t xml:space="preserve">Calcular la cantidad de personas del sexo Femenino:</t>
  </si>
  <si>
    <t>BDCONTARA</t>
  </si>
  <si>
    <t xml:space="preserve">Calcular la calificación máxima del examen extraordinario:</t>
  </si>
  <si>
    <t>BDMAX</t>
  </si>
  <si>
    <t xml:space="preserve">Calcular la calificación mínima del examen extraordinario:</t>
  </si>
  <si>
    <t>BDMIN</t>
  </si>
  <si>
    <t xml:space="preserve">Monto total de adeudos de examenes extraordinarios</t>
  </si>
  <si>
    <t>BDSUMA</t>
  </si>
  <si>
    <t xml:space="preserve">Promedio de calificaciones del examen Ordinario:</t>
  </si>
  <si>
    <t>BDPROMEDIO</t>
  </si>
  <si>
    <t>CLAVE</t>
  </si>
  <si>
    <t>AUTOR</t>
  </si>
  <si>
    <t>TÍTULO</t>
  </si>
  <si>
    <t>PRECIO</t>
  </si>
  <si>
    <t xml:space="preserve">Alejandro Dumas</t>
  </si>
  <si>
    <t xml:space="preserve">Los tres mosqueteros</t>
  </si>
  <si>
    <t xml:space="preserve">Arthur Conan Doyle</t>
  </si>
  <si>
    <t xml:space="preserve">Las aventuras de Sherlock Holmes</t>
  </si>
  <si>
    <t xml:space="preserve">Benito Perez Galdos</t>
  </si>
  <si>
    <t>Marianela</t>
  </si>
  <si>
    <t xml:space="preserve">Charles Dickens</t>
  </si>
  <si>
    <t xml:space="preserve">Cuento de Navidad</t>
  </si>
  <si>
    <t xml:space="preserve">Historia de dos ciudades</t>
  </si>
  <si>
    <t xml:space="preserve">Oliver Twist</t>
  </si>
  <si>
    <t xml:space="preserve">Edgar Allan Poe</t>
  </si>
  <si>
    <t xml:space="preserve">El gato negro</t>
  </si>
  <si>
    <t xml:space="preserve">Los crimenes de la Rue Morge</t>
  </si>
  <si>
    <t xml:space="preserve">Fedor Dostoiewski</t>
  </si>
  <si>
    <t xml:space="preserve">Crimen y castigo</t>
  </si>
  <si>
    <t xml:space="preserve">Fernando de Rojas</t>
  </si>
  <si>
    <t xml:space="preserve">La celestina</t>
  </si>
  <si>
    <t xml:space="preserve">Franz Kafka</t>
  </si>
  <si>
    <t xml:space="preserve">La metamorfosis</t>
  </si>
  <si>
    <t xml:space="preserve">Gustave Flaubert</t>
  </si>
  <si>
    <t xml:space="preserve">Madame Bovary</t>
  </si>
  <si>
    <t xml:space="preserve">Jack Londo</t>
  </si>
  <si>
    <t xml:space="preserve">Colmillo Blanco</t>
  </si>
  <si>
    <t xml:space="preserve">JM Barrie</t>
  </si>
  <si>
    <t xml:space="preserve">Peter Pan</t>
  </si>
  <si>
    <t xml:space="preserve">Johann Wolfang Goethe</t>
  </si>
  <si>
    <t>Fausto</t>
  </si>
  <si>
    <t xml:space="preserve">Julio Verne</t>
  </si>
  <si>
    <t xml:space="preserve">De la tierra a la Luna</t>
  </si>
  <si>
    <t xml:space="preserve">La vuelta al mundo en 80 dias</t>
  </si>
  <si>
    <t xml:space="preserve">Leon Tolstoi</t>
  </si>
  <si>
    <t xml:space="preserve">Ana Karenina</t>
  </si>
  <si>
    <t xml:space="preserve">Guerra y Paz</t>
  </si>
  <si>
    <t xml:space="preserve">Lewis Carroll</t>
  </si>
  <si>
    <t xml:space="preserve">Alicia en el pais de las maravillas</t>
  </si>
  <si>
    <t xml:space="preserve">Lope de Vega</t>
  </si>
  <si>
    <t>Fuenteovejuna</t>
  </si>
  <si>
    <t xml:space="preserve">Mark Twain</t>
  </si>
  <si>
    <t xml:space="preserve">El principe y el mendigo</t>
  </si>
  <si>
    <t xml:space="preserve">Las aventuras de Huckleberry Finn</t>
  </si>
  <si>
    <t xml:space="preserve">Las aventuras de Tom Sawyer</t>
  </si>
  <si>
    <t xml:space="preserve">Mary Shelley</t>
  </si>
  <si>
    <t>Frankenstein</t>
  </si>
  <si>
    <t xml:space="preserve">Miguel de Cervantes Saavedra</t>
  </si>
  <si>
    <t xml:space="preserve">Don Quijote de la Mancha</t>
  </si>
  <si>
    <t xml:space="preserve">Miguel de Unamuno</t>
  </si>
  <si>
    <t xml:space="preserve">La tia Tula</t>
  </si>
  <si>
    <t>Niebla</t>
  </si>
  <si>
    <t>Moliere</t>
  </si>
  <si>
    <t xml:space="preserve">Las preciosas ridiculas</t>
  </si>
  <si>
    <t>Tartufo</t>
  </si>
  <si>
    <t xml:space="preserve">Oscar Wilde</t>
  </si>
  <si>
    <t xml:space="preserve">El fantasma de Canterville</t>
  </si>
  <si>
    <t xml:space="preserve">El retrato de Dorian Gray</t>
  </si>
  <si>
    <t xml:space="preserve">La importancia de Llamarse Ernesto</t>
  </si>
  <si>
    <t xml:space="preserve">Ruben Dario</t>
  </si>
  <si>
    <t>Azul</t>
  </si>
  <si>
    <t xml:space="preserve">Tomas Moro</t>
  </si>
  <si>
    <t>Utopia</t>
  </si>
  <si>
    <t xml:space="preserve">Victor Hugo</t>
  </si>
  <si>
    <t xml:space="preserve">Los miresables</t>
  </si>
  <si>
    <t xml:space="preserve">William Shakespeare</t>
  </si>
  <si>
    <t xml:space="preserve">El mercader de venecia</t>
  </si>
  <si>
    <t xml:space="preserve">El Rey Lear</t>
  </si>
  <si>
    <t xml:space="preserve">Romeo y Julieta</t>
  </si>
  <si>
    <t xml:space="preserve">Sueño de una noche de verano</t>
  </si>
  <si>
    <t>Clave</t>
  </si>
  <si>
    <t>Autor</t>
  </si>
  <si>
    <t>Título</t>
  </si>
  <si>
    <t>Precio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</si>
</sst>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7">
    <font>
      <sz val="11.000000"/>
      <color theme="1"/>
      <name val="Calibri"/>
      <scheme val="minor"/>
    </font>
    <font>
      <b/>
      <sz val="11.000000"/>
      <color theme="0"/>
      <name val="Calibri"/>
      <scheme val="minor"/>
    </font>
    <font>
      <b/>
      <sz val="12.000000"/>
      <color indexed="2"/>
      <name val="Calibri"/>
      <scheme val="minor"/>
    </font>
    <font>
      <b/>
      <sz val="12.000000"/>
      <color theme="1"/>
      <name val="Calibri"/>
      <scheme val="minor"/>
    </font>
    <font>
      <b/>
      <sz val="12.000000"/>
      <color theme="0"/>
      <name val="Calibri"/>
      <scheme val="minor"/>
    </font>
    <font>
      <b/>
      <sz val="14.000000"/>
      <color rgb="FFC00000"/>
      <name val="Calibri"/>
      <scheme val="minor"/>
    </font>
    <font>
      <b/>
      <sz val="11.000000"/>
      <color theme="1"/>
      <name val="Calibri"/>
      <scheme val="minor"/>
    </font>
  </fonts>
  <fills count="8">
    <fill>
      <patternFill patternType="none"/>
    </fill>
    <fill>
      <patternFill patternType="gray125"/>
    </fill>
    <fill>
      <patternFill patternType="solid">
        <fgColor rgb="FF002060"/>
      </patternFill>
    </fill>
    <fill>
      <patternFill patternType="solid">
        <fgColor theme="5"/>
      </patternFill>
    </fill>
    <fill>
      <patternFill patternType="solid">
        <fgColor rgb="FF80386D"/>
      </patternFill>
    </fill>
    <fill>
      <patternFill patternType="solid">
        <fgColor theme="0" tint="-0.049989318521683403"/>
      </patternFill>
    </fill>
    <fill>
      <patternFill patternType="solid">
        <fgColor theme="3"/>
      </patternFill>
    </fill>
    <fill>
      <patternFill patternType="solid">
        <fgColor theme="2"/>
      </patternFill>
    </fill>
  </fills>
  <borders count="12">
    <border>
      <left style="none"/>
      <right style="none"/>
      <top style="none"/>
      <bottom style="none"/>
      <diagonal style="none"/>
    </border>
    <border>
      <left style="dashed">
        <color auto="1"/>
      </left>
      <right style="thin">
        <color auto="1"/>
      </right>
      <top style="none"/>
      <bottom style="none"/>
      <diagonal style="none"/>
    </border>
    <border>
      <left style="none"/>
      <right style="thin">
        <color auto="1"/>
      </right>
      <top style="none"/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none"/>
      <diagonal style="none"/>
    </border>
    <border>
      <left style="none"/>
      <right style="thin">
        <color auto="1"/>
      </right>
      <top style="thin">
        <color auto="1"/>
      </top>
      <bottom style="none"/>
      <diagonal style="none"/>
    </border>
    <border>
      <left style="none"/>
      <right style="none"/>
      <top style="thin">
        <color auto="1"/>
      </top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none"/>
      <right style="none"/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none"/>
      <bottom style="none"/>
      <diagonal style="none"/>
    </border>
    <border>
      <left style="thin">
        <color auto="1"/>
      </left>
      <right style="thin">
        <color auto="1"/>
      </right>
      <top style="none"/>
      <bottom style="thin">
        <color auto="1"/>
      </bottom>
      <diagonal style="none"/>
    </border>
    <border>
      <left style="none"/>
      <right style="none"/>
      <top style="none"/>
      <bottom style="thin">
        <color auto="1"/>
      </bottom>
      <diagonal style="none"/>
    </border>
  </borders>
  <cellStyleXfs count="1">
    <xf fontId="0" fillId="0" borderId="0" numFmtId="0" applyNumberFormat="1" applyFont="1" applyFill="1" applyBorder="1"/>
  </cellStyleXfs>
  <cellXfs count="30">
    <xf fontId="0" fillId="0" borderId="0" numFmtId="0" xfId="0"/>
    <xf fontId="1" fillId="2" borderId="1" numFmtId="0" xfId="0" applyFont="1" applyFill="1" applyBorder="1" applyAlignment="1">
      <alignment horizontal="center" vertical="center"/>
    </xf>
    <xf fontId="1" fillId="2" borderId="2" numFmtId="0" xfId="0" applyFont="1" applyFill="1" applyBorder="1" applyAlignment="1">
      <alignment horizontal="center" vertical="center"/>
    </xf>
    <xf fontId="1" fillId="2" borderId="0" numFmtId="0" xfId="0" applyFont="1" applyFill="1" applyAlignment="1">
      <alignment horizontal="center" vertical="center"/>
    </xf>
    <xf fontId="1" fillId="2" borderId="3" numFmtId="0" xfId="0" applyFont="1" applyFill="1" applyBorder="1" applyAlignment="1">
      <alignment horizontal="center" vertical="center"/>
    </xf>
    <xf fontId="0" fillId="0" borderId="3" numFmtId="0" xfId="0" applyBorder="1" applyAlignment="1">
      <alignment horizontal="center"/>
    </xf>
    <xf fontId="0" fillId="0" borderId="4" numFmtId="0" xfId="0" applyBorder="1" applyAlignment="1">
      <alignment horizontal="center"/>
    </xf>
    <xf fontId="0" fillId="0" borderId="5" numFmtId="0" xfId="0" applyBorder="1" applyAlignment="1">
      <alignment horizontal="center"/>
    </xf>
    <xf fontId="0" fillId="0" borderId="6" numFmtId="0" xfId="0" applyBorder="1" applyAlignment="1">
      <alignment horizontal="center"/>
    </xf>
    <xf fontId="0" fillId="0" borderId="7" numFmtId="0" xfId="0" applyBorder="1" applyAlignment="1">
      <alignment horizontal="center"/>
    </xf>
    <xf fontId="0" fillId="0" borderId="8" numFmtId="0" xfId="0" applyBorder="1" applyAlignment="1">
      <alignment horizontal="center"/>
    </xf>
    <xf fontId="0" fillId="0" borderId="9" numFmtId="0" xfId="0" applyBorder="1" applyAlignment="1">
      <alignment horizontal="center"/>
    </xf>
    <xf fontId="0" fillId="0" borderId="2" numFmtId="0" xfId="0" applyBorder="1" applyAlignment="1">
      <alignment horizontal="center"/>
    </xf>
    <xf fontId="0" fillId="0" borderId="0" numFmtId="0" xfId="0" applyAlignment="1">
      <alignment horizontal="center"/>
    </xf>
    <xf fontId="1" fillId="3" borderId="3" numFmtId="0" xfId="0" applyFont="1" applyFill="1" applyBorder="1" applyAlignment="1">
      <alignment horizontal="center" vertical="center" wrapText="1"/>
    </xf>
    <xf fontId="1" fillId="3" borderId="6" numFmtId="0" xfId="0" applyFont="1" applyFill="1" applyBorder="1" applyAlignment="1">
      <alignment horizontal="center" vertical="center"/>
    </xf>
    <xf fontId="1" fillId="3" borderId="6" numFmtId="0" xfId="0" applyFont="1" applyFill="1" applyBorder="1" applyAlignment="1">
      <alignment horizontal="center" vertical="center" wrapText="1"/>
    </xf>
    <xf fontId="1" fillId="3" borderId="10" numFmtId="0" xfId="0" applyFont="1" applyFill="1" applyBorder="1" applyAlignment="1">
      <alignment horizontal="center" vertical="center" wrapText="1"/>
    </xf>
    <xf fontId="0" fillId="0" borderId="6" numFmtId="0" xfId="0" applyBorder="1" applyAlignment="1">
      <alignment horizontal="center" vertical="center"/>
    </xf>
    <xf fontId="2" fillId="0" borderId="11" numFmtId="0" xfId="0" applyFont="1" applyBorder="1" applyAlignment="1">
      <alignment horizontal="left"/>
    </xf>
    <xf fontId="3" fillId="0" borderId="0" numFmtId="0" xfId="0" applyFont="1" applyAlignment="1">
      <alignment horizontal="center"/>
    </xf>
    <xf fontId="3" fillId="0" borderId="2" numFmtId="0" xfId="0" applyFont="1" applyBorder="1" applyAlignment="1">
      <alignment horizontal="center"/>
    </xf>
    <xf fontId="4" fillId="4" borderId="6" numFmtId="0" xfId="0" applyFont="1" applyFill="1" applyBorder="1"/>
    <xf fontId="5" fillId="0" borderId="6" numFmtId="0" xfId="0" applyFont="1" applyBorder="1" applyAlignment="1">
      <alignment horizontal="center"/>
    </xf>
    <xf fontId="4" fillId="5" borderId="0" numFmtId="0" xfId="0" applyFont="1" applyFill="1"/>
    <xf fontId="5" fillId="0" borderId="0" numFmtId="0" xfId="0" applyFont="1" applyAlignment="1">
      <alignment horizontal="center"/>
    </xf>
    <xf fontId="6" fillId="0" borderId="0" numFmtId="0" xfId="0" applyFont="1" applyAlignment="1">
      <alignment horizontal="center"/>
    </xf>
    <xf fontId="4" fillId="6" borderId="6" numFmtId="0" xfId="0" applyFont="1" applyFill="1" applyBorder="1" applyAlignment="1">
      <alignment horizontal="center"/>
    </xf>
    <xf fontId="0" fillId="5" borderId="6" numFmtId="0" xfId="0" applyFill="1" applyBorder="1" applyAlignment="1">
      <alignment horizontal="center"/>
    </xf>
    <xf fontId="0" fillId="7" borderId="6" numFmtId="0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theme" Target="theme/theme1.xml"/><Relationship  Id="rId5" Type="http://schemas.openxmlformats.org/officeDocument/2006/relationships/sharedStrings" Target="sharedStrings.xml"/><Relationship  Id="rId6" Type="http://schemas.openxmlformats.org/officeDocument/2006/relationships/styles" Target="styles.xml"/></Relationships>
</file>

<file path=xl/drawings/_rels/drawing1.xml.rels><?xml version="1.0" encoding="UTF-8" standalone="yes"?><Relationships xmlns="http://schemas.openxmlformats.org/package/2006/relationships"></Relationships>
</file>

<file path=xl/drawings/_rels/drawing2.xml.rels><?xml version="1.0" encoding="UTF-8" standalone="yes"?><Relationships xmlns="http://schemas.openxmlformats.org/package/2006/relationships"></Relationships>
</file>

<file path=xl/drawings/_rels/drawing3.xml.rels><?xml version="1.0" encoding="UTF-8" standalone="yes"?><Relationships xmlns="http://schemas.openxmlformats.org/package/2006/relationships"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twoCell">
    <xdr:from>
      <xdr:col>7</xdr:col>
      <xdr:colOff>12699</xdr:colOff>
      <xdr:row>0</xdr:row>
      <xdr:rowOff>1</xdr:rowOff>
    </xdr:from>
    <xdr:to>
      <xdr:col>10</xdr:col>
      <xdr:colOff>220943</xdr:colOff>
      <xdr:row>8</xdr:row>
      <xdr:rowOff>123265</xdr:rowOff>
    </xdr:to>
    <xdr:sp>
      <xdr:nvSpPr>
        <xdr:cNvPr id="2" name="Rectángulo 1"/>
        <xdr:cNvSpPr/>
      </xdr:nvSpPr>
      <xdr:spPr bwMode="auto">
        <a:xfrm>
          <a:off x="7565464" y="1"/>
          <a:ext cx="2494244" cy="1669675"/>
        </a:xfrm>
        <a:prstGeom prst="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>
            <a:defRPr/>
          </a:pPr>
          <a:r>
            <a:rPr lang="es-MX" sz="1200" b="1"/>
            <a:t>La primera parte es la tabla de información. En la siguiente sección esta una tabla más pequeña que es donde están los CRITERIOS de consulta. </a:t>
          </a:r>
          <a:endParaRPr/>
        </a:p>
        <a:p>
          <a:pPr algn="l">
            <a:defRPr/>
          </a:pPr>
          <a:r>
            <a:rPr lang="es-MX" sz="1200" b="1"/>
            <a:t>En la parte de abajo, tenemos un listado de las funciones que  deberás</a:t>
          </a:r>
          <a:r>
            <a:rPr lang="es-MX" sz="1200" b="1"/>
            <a:t> aplicar.</a:t>
          </a:r>
          <a:endParaRPr lang="es-MX" sz="1200" b="1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twoCell">
    <xdr:from>
      <xdr:col>4</xdr:col>
      <xdr:colOff>263525</xdr:colOff>
      <xdr:row>0</xdr:row>
      <xdr:rowOff>0</xdr:rowOff>
    </xdr:from>
    <xdr:to>
      <xdr:col>7</xdr:col>
      <xdr:colOff>488950</xdr:colOff>
      <xdr:row>7</xdr:row>
      <xdr:rowOff>0</xdr:rowOff>
    </xdr:to>
    <xdr:sp>
      <xdr:nvSpPr>
        <xdr:cNvPr id="2" name="Rectángulo 1"/>
        <xdr:cNvSpPr/>
      </xdr:nvSpPr>
      <xdr:spPr bwMode="auto">
        <a:xfrm>
          <a:off x="5508625" y="0"/>
          <a:ext cx="2016125" cy="1289050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>
            <a:defRPr/>
          </a:pPr>
          <a:r>
            <a:rPr lang="es-MX" sz="1200" b="1"/>
            <a:t>Aplica</a:t>
          </a:r>
          <a:r>
            <a:rPr lang="es-MX" sz="1200" b="1"/>
            <a:t> formato de tabla y elimina todas las filas vacías a través de una función.</a:t>
          </a:r>
          <a:endParaRPr/>
        </a:p>
        <a:p>
          <a:pPr algn="l">
            <a:defRPr/>
          </a:pPr>
          <a:r>
            <a:rPr lang="es-MX" sz="1200" b="1"/>
            <a:t>Dirígete a la hoja FunciónBuscar y realiza lo que se te pide.</a:t>
          </a:r>
          <a:endParaRPr lang="es-MX" sz="1200" b="1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twoCell">
    <xdr:from>
      <xdr:col>5</xdr:col>
      <xdr:colOff>9525</xdr:colOff>
      <xdr:row>0</xdr:row>
      <xdr:rowOff>1</xdr:rowOff>
    </xdr:from>
    <xdr:to>
      <xdr:col>8</xdr:col>
      <xdr:colOff>320675</xdr:colOff>
      <xdr:row>4</xdr:row>
      <xdr:rowOff>157370</xdr:rowOff>
    </xdr:to>
    <xdr:sp>
      <xdr:nvSpPr>
        <xdr:cNvPr id="2" name="Rectángulo 1"/>
        <xdr:cNvSpPr/>
      </xdr:nvSpPr>
      <xdr:spPr bwMode="auto">
        <a:xfrm>
          <a:off x="5517460" y="1"/>
          <a:ext cx="2597149" cy="902804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>
            <a:defRPr/>
          </a:pPr>
          <a:r>
            <a:rPr lang="es-MX" sz="1200" b="1"/>
            <a:t>Utilizando la hoja BaseLibros, realiza las fórmulas</a:t>
          </a:r>
          <a:r>
            <a:rPr lang="es-MX" sz="1200" b="1"/>
            <a:t> necesarias para que en función de la CLAVE, se muestre el autor, título y precio.</a:t>
          </a:r>
          <a:endParaRPr/>
        </a:p>
      </xdr:txBody>
    </xdr:sp>
    <xdr:clientData/>
  </xdr:twoCellAnchor>
</xdr:wsDr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1.xml"/></Relationships>
</file>

<file path=xl/worksheets/_rels/sheet2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2.xml"/></Relationships>
</file>

<file path=xl/worksheets/_rels/sheet3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85" workbookViewId="0">
      <selection activeCell="A20" activeCellId="0" sqref="A20:E20"/>
    </sheetView>
  </sheetViews>
  <sheetFormatPr baseColWidth="10" defaultRowHeight="14.25"/>
  <cols>
    <col customWidth="1" min="1" max="1" width="22.6328125"/>
    <col customWidth="1" min="2" max="2" width="12.1796875"/>
    <col customWidth="1" min="3" max="3" width="8.6328125"/>
    <col customWidth="1" min="4" max="4" width="11.54296875"/>
    <col customWidth="1" min="5" max="5" width="12.90625"/>
    <col customWidth="1" min="6" max="6" width="20.26953125"/>
    <col customWidth="1" min="7" max="7" width="19.81640625"/>
  </cols>
  <sheetData>
    <row r="1" ht="23" customHeight="1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4" t="s">
        <v>5</v>
      </c>
    </row>
    <row r="2">
      <c r="A2" s="5" t="s">
        <v>6</v>
      </c>
      <c r="B2" s="6">
        <v>17</v>
      </c>
      <c r="C2" s="6" t="s">
        <v>7</v>
      </c>
      <c r="D2" s="7">
        <v>200</v>
      </c>
      <c r="E2" s="5">
        <v>9</v>
      </c>
      <c r="F2" s="5" t="s">
        <v>8</v>
      </c>
    </row>
    <row r="3">
      <c r="A3" s="8" t="s">
        <v>9</v>
      </c>
      <c r="B3" s="9">
        <v>18</v>
      </c>
      <c r="C3" s="9" t="s">
        <v>10</v>
      </c>
      <c r="D3" s="10">
        <v>150</v>
      </c>
      <c r="E3" s="8">
        <v>8</v>
      </c>
      <c r="F3" s="8" t="s">
        <v>11</v>
      </c>
    </row>
    <row r="4">
      <c r="A4" s="11" t="s">
        <v>12</v>
      </c>
      <c r="B4" s="12">
        <v>16</v>
      </c>
      <c r="C4" s="12" t="s">
        <v>10</v>
      </c>
      <c r="D4" s="13">
        <v>300</v>
      </c>
      <c r="E4" s="11">
        <v>5</v>
      </c>
      <c r="F4" s="11" t="s">
        <v>8</v>
      </c>
    </row>
    <row r="5">
      <c r="A5" s="8" t="s">
        <v>13</v>
      </c>
      <c r="B5" s="9">
        <v>18</v>
      </c>
      <c r="C5" s="9" t="s">
        <v>7</v>
      </c>
      <c r="D5" s="10">
        <v>425</v>
      </c>
      <c r="E5" s="8">
        <v>7</v>
      </c>
      <c r="F5" s="8" t="s">
        <v>8</v>
      </c>
    </row>
    <row r="6">
      <c r="A6" s="11" t="s">
        <v>14</v>
      </c>
      <c r="B6" s="12">
        <v>19</v>
      </c>
      <c r="C6" s="12" t="s">
        <v>7</v>
      </c>
      <c r="D6" s="13">
        <v>150</v>
      </c>
      <c r="E6" s="11">
        <v>5</v>
      </c>
      <c r="F6" s="11" t="s">
        <v>11</v>
      </c>
    </row>
    <row r="7">
      <c r="A7" s="8" t="s">
        <v>15</v>
      </c>
      <c r="B7" s="9">
        <v>20</v>
      </c>
      <c r="C7" s="9" t="s">
        <v>7</v>
      </c>
      <c r="D7" s="10">
        <v>500</v>
      </c>
      <c r="E7" s="8">
        <v>9</v>
      </c>
      <c r="F7" s="8" t="s">
        <v>11</v>
      </c>
    </row>
    <row r="8">
      <c r="A8" s="11" t="s">
        <v>16</v>
      </c>
      <c r="B8" s="12">
        <v>20</v>
      </c>
      <c r="C8" s="12" t="s">
        <v>10</v>
      </c>
      <c r="D8" s="13">
        <v>100</v>
      </c>
      <c r="E8" s="11">
        <v>7</v>
      </c>
      <c r="F8" s="11" t="s">
        <v>8</v>
      </c>
    </row>
    <row r="9">
      <c r="A9" s="8" t="s">
        <v>17</v>
      </c>
      <c r="B9" s="9">
        <v>17</v>
      </c>
      <c r="C9" s="9" t="s">
        <v>10</v>
      </c>
      <c r="D9" s="10">
        <v>320</v>
      </c>
      <c r="E9" s="8">
        <v>10</v>
      </c>
      <c r="F9" s="8" t="s">
        <v>8</v>
      </c>
    </row>
    <row r="10" ht="23.5" customHeight="1"/>
    <row r="11" ht="28.5" customHeight="1">
      <c r="A11" s="14" t="s">
        <v>18</v>
      </c>
      <c r="B11" s="15" t="s">
        <v>1</v>
      </c>
      <c r="C11" s="15" t="s">
        <v>2</v>
      </c>
      <c r="D11" s="16" t="s">
        <v>19</v>
      </c>
      <c r="E11" s="16" t="s">
        <v>5</v>
      </c>
    </row>
    <row r="12" ht="20" customHeight="1">
      <c r="A12" s="17"/>
      <c r="B12" s="18">
        <v>17</v>
      </c>
      <c r="C12" s="18" t="s">
        <v>7</v>
      </c>
      <c r="D12" s="18" t="s">
        <v>11</v>
      </c>
      <c r="E12" s="18" t="s">
        <v>8</v>
      </c>
    </row>
    <row r="13" ht="6.5" customHeight="1"/>
    <row r="14" ht="16.5">
      <c r="F14" s="19" t="s">
        <v>20</v>
      </c>
      <c r="G14" s="19"/>
    </row>
    <row r="15" ht="18.75">
      <c r="A15" s="20" t="s">
        <v>21</v>
      </c>
      <c r="B15" s="20"/>
      <c r="C15" s="20"/>
      <c r="D15" s="20"/>
      <c r="E15" s="21"/>
      <c r="F15" s="22" t="s">
        <v>22</v>
      </c>
      <c r="G15" s="23">
        <f>DCOUNT(A1:F9,B11,B11:B12)</f>
        <v>2</v>
      </c>
    </row>
    <row r="16" ht="18.75">
      <c r="A16" s="20" t="s">
        <v>23</v>
      </c>
      <c r="B16" s="20"/>
      <c r="C16" s="20"/>
      <c r="D16" s="20"/>
      <c r="E16" s="21"/>
      <c r="F16" s="22" t="s">
        <v>24</v>
      </c>
      <c r="G16" s="23">
        <f>DCOUNTA(A1:F9,C11,C11:C12)</f>
        <v>4</v>
      </c>
    </row>
    <row r="17" ht="18.75">
      <c r="A17" s="20" t="s">
        <v>25</v>
      </c>
      <c r="B17" s="20"/>
      <c r="C17" s="20"/>
      <c r="D17" s="20"/>
      <c r="E17" s="21"/>
      <c r="F17" s="22" t="s">
        <v>26</v>
      </c>
      <c r="G17" s="23">
        <f>DMAX($A$1:$F$9,"Calificación",$E$11:$E$12)</f>
        <v>10</v>
      </c>
    </row>
    <row r="18" ht="18.75">
      <c r="A18" s="20" t="s">
        <v>27</v>
      </c>
      <c r="B18" s="20"/>
      <c r="C18" s="20"/>
      <c r="D18" s="20"/>
      <c r="E18" s="21"/>
      <c r="F18" s="22" t="s">
        <v>28</v>
      </c>
      <c r="G18" s="23">
        <f>DMIN($A$1:$F$9,"Calificación",$E$11:$E$12)</f>
        <v>5</v>
      </c>
    </row>
    <row r="19" ht="18.75">
      <c r="A19" s="20" t="s">
        <v>29</v>
      </c>
      <c r="B19" s="20"/>
      <c r="C19" s="20"/>
      <c r="D19" s="20"/>
      <c r="E19" s="21"/>
      <c r="F19" s="22" t="s">
        <v>30</v>
      </c>
      <c r="G19" s="23">
        <f>DSUM(A1:F9,C1,E11:E12)</f>
        <v>0</v>
      </c>
    </row>
    <row r="20" ht="18.75">
      <c r="A20" s="20" t="s">
        <v>31</v>
      </c>
      <c r="B20" s="20"/>
      <c r="C20" s="20"/>
      <c r="D20" s="20"/>
      <c r="E20" s="21"/>
      <c r="F20" s="22" t="s">
        <v>32</v>
      </c>
      <c r="G20" s="23">
        <f>DAVERAGE(A1:F9,E1,D11:D12)</f>
        <v>7.5</v>
      </c>
    </row>
    <row r="21" ht="18.75">
      <c r="A21" s="20"/>
      <c r="B21" s="20"/>
      <c r="C21" s="20"/>
      <c r="D21" s="20"/>
      <c r="E21" s="20"/>
      <c r="F21" s="24"/>
      <c r="G21" s="25"/>
    </row>
  </sheetData>
  <mergeCells count="9">
    <mergeCell ref="A11:A12"/>
    <mergeCell ref="F14:G14"/>
    <mergeCell ref="A15:E15"/>
    <mergeCell ref="A16:E16"/>
    <mergeCell ref="A17:E17"/>
    <mergeCell ref="A18:E18"/>
    <mergeCell ref="A19:E19"/>
    <mergeCell ref="A20:E20"/>
    <mergeCell ref="A21:E21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0" verticalDpi="0" copies="1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85" workbookViewId="0">
      <selection activeCell="C6" activeCellId="0" sqref="C6"/>
    </sheetView>
  </sheetViews>
  <sheetFormatPr baseColWidth="10" defaultRowHeight="14.5"/>
  <cols>
    <col bestFit="1" customWidth="1" min="1" max="1" width="7"/>
    <col bestFit="1" customWidth="1" min="2" max="2" width="28"/>
    <col bestFit="1" customWidth="1" min="3" max="3" width="32.54296875"/>
    <col customWidth="1" min="4" max="4" width="7.54296875"/>
    <col customWidth="1" min="5" max="5" width="3.81640625"/>
  </cols>
  <sheetData>
    <row r="1">
      <c r="A1" s="26" t="s">
        <v>33</v>
      </c>
      <c r="B1" s="26" t="s">
        <v>34</v>
      </c>
      <c r="C1" s="26" t="s">
        <v>35</v>
      </c>
      <c r="D1" s="26" t="s">
        <v>36</v>
      </c>
    </row>
    <row r="2">
      <c r="A2" s="13"/>
      <c r="B2" s="13"/>
      <c r="C2" s="13"/>
      <c r="D2" s="13"/>
    </row>
    <row r="3">
      <c r="A3" s="13">
        <v>123321</v>
      </c>
      <c r="B3" s="13" t="s">
        <v>37</v>
      </c>
      <c r="C3" s="13" t="s">
        <v>38</v>
      </c>
      <c r="D3" s="13">
        <v>350</v>
      </c>
    </row>
    <row r="4">
      <c r="A4" s="13"/>
      <c r="B4" s="13"/>
      <c r="C4" s="13"/>
      <c r="D4" s="13"/>
    </row>
    <row r="5">
      <c r="A5" s="13">
        <v>135426</v>
      </c>
      <c r="B5" s="13" t="s">
        <v>39</v>
      </c>
      <c r="C5" s="13" t="s">
        <v>40</v>
      </c>
      <c r="D5" s="13">
        <v>345</v>
      </c>
    </row>
    <row r="6">
      <c r="A6" s="13"/>
      <c r="B6" s="13"/>
      <c r="C6" s="13"/>
      <c r="D6" s="13"/>
    </row>
    <row r="7">
      <c r="A7" s="13">
        <v>124578</v>
      </c>
      <c r="B7" s="13" t="s">
        <v>41</v>
      </c>
      <c r="C7" s="13" t="s">
        <v>42</v>
      </c>
      <c r="D7" s="13">
        <v>234</v>
      </c>
    </row>
    <row r="8">
      <c r="A8" s="13"/>
      <c r="B8" s="13"/>
      <c r="C8" s="13"/>
      <c r="D8" s="13"/>
    </row>
    <row r="9">
      <c r="A9" s="13">
        <v>235678</v>
      </c>
      <c r="B9" s="13" t="s">
        <v>43</v>
      </c>
      <c r="C9" s="13" t="s">
        <v>44</v>
      </c>
      <c r="D9" s="13">
        <v>345</v>
      </c>
    </row>
    <row r="10">
      <c r="A10" s="13"/>
      <c r="B10" s="13"/>
      <c r="C10" s="13"/>
      <c r="D10" s="13"/>
    </row>
    <row r="11">
      <c r="A11" s="13">
        <v>987654</v>
      </c>
      <c r="B11" s="13" t="s">
        <v>43</v>
      </c>
      <c r="C11" s="13" t="s">
        <v>45</v>
      </c>
      <c r="D11" s="13">
        <v>234</v>
      </c>
    </row>
    <row r="12">
      <c r="A12" s="13"/>
      <c r="B12" s="13"/>
      <c r="C12" s="13"/>
      <c r="D12" s="13"/>
    </row>
    <row r="13">
      <c r="A13" s="13">
        <v>986532</v>
      </c>
      <c r="B13" s="13" t="s">
        <v>43</v>
      </c>
      <c r="C13" s="13" t="s">
        <v>46</v>
      </c>
      <c r="D13" s="13">
        <v>432</v>
      </c>
    </row>
    <row r="14">
      <c r="A14" s="13"/>
      <c r="B14" s="13"/>
      <c r="C14" s="13"/>
      <c r="D14" s="13"/>
    </row>
    <row r="15">
      <c r="A15" s="13">
        <v>876521</v>
      </c>
      <c r="B15" s="13" t="s">
        <v>47</v>
      </c>
      <c r="C15" s="13" t="s">
        <v>48</v>
      </c>
      <c r="D15" s="13">
        <v>34</v>
      </c>
    </row>
    <row r="16">
      <c r="A16" s="13"/>
      <c r="B16" s="13"/>
      <c r="C16" s="13"/>
      <c r="D16" s="13"/>
    </row>
    <row r="17">
      <c r="A17" s="13">
        <v>124567</v>
      </c>
      <c r="B17" s="13" t="s">
        <v>47</v>
      </c>
      <c r="C17" s="13" t="s">
        <v>49</v>
      </c>
      <c r="D17" s="13">
        <v>123</v>
      </c>
    </row>
    <row r="18">
      <c r="A18" s="13"/>
      <c r="B18" s="13"/>
      <c r="C18" s="13"/>
      <c r="D18" s="13"/>
    </row>
    <row r="19">
      <c r="A19" s="13">
        <v>234590</v>
      </c>
      <c r="B19" s="13" t="s">
        <v>50</v>
      </c>
      <c r="C19" s="13" t="s">
        <v>51</v>
      </c>
      <c r="D19" s="13">
        <v>234</v>
      </c>
    </row>
    <row r="20">
      <c r="A20" s="13"/>
      <c r="B20" s="13"/>
      <c r="C20" s="13"/>
      <c r="D20" s="13"/>
    </row>
    <row r="21">
      <c r="A21" s="13">
        <v>102938</v>
      </c>
      <c r="B21" s="13" t="s">
        <v>52</v>
      </c>
      <c r="C21" s="13" t="s">
        <v>53</v>
      </c>
      <c r="D21" s="13">
        <v>345</v>
      </c>
    </row>
    <row r="22">
      <c r="A22" s="13"/>
      <c r="B22" s="13"/>
      <c r="C22" s="13"/>
      <c r="D22" s="13"/>
    </row>
    <row r="23">
      <c r="A23" s="13">
        <v>457812</v>
      </c>
      <c r="B23" s="13" t="s">
        <v>54</v>
      </c>
      <c r="C23" s="13" t="s">
        <v>55</v>
      </c>
      <c r="D23" s="13">
        <v>456</v>
      </c>
    </row>
    <row r="24">
      <c r="A24" s="13"/>
      <c r="B24" s="13"/>
      <c r="C24" s="13"/>
      <c r="D24" s="13"/>
    </row>
    <row r="25">
      <c r="A25" s="13">
        <v>567890</v>
      </c>
      <c r="B25" s="13" t="s">
        <v>56</v>
      </c>
      <c r="C25" s="13" t="s">
        <v>57</v>
      </c>
      <c r="D25" s="13">
        <v>321</v>
      </c>
    </row>
    <row r="26">
      <c r="A26" s="13"/>
      <c r="B26" s="13"/>
      <c r="C26" s="13"/>
      <c r="D26" s="13"/>
    </row>
    <row r="27">
      <c r="A27" s="13">
        <v>124576</v>
      </c>
      <c r="B27" s="13" t="s">
        <v>58</v>
      </c>
      <c r="C27" s="13" t="s">
        <v>59</v>
      </c>
      <c r="D27" s="13">
        <v>432</v>
      </c>
    </row>
    <row r="28">
      <c r="A28" s="13"/>
      <c r="B28" s="13"/>
      <c r="C28" s="13"/>
      <c r="D28" s="13"/>
    </row>
    <row r="29">
      <c r="A29" s="13">
        <v>113366</v>
      </c>
      <c r="B29" s="13" t="s">
        <v>60</v>
      </c>
      <c r="C29" s="13" t="s">
        <v>61</v>
      </c>
      <c r="D29" s="13">
        <v>321</v>
      </c>
    </row>
    <row r="30">
      <c r="A30" s="13"/>
      <c r="B30" s="13"/>
      <c r="C30" s="13"/>
      <c r="D30" s="13"/>
    </row>
    <row r="31">
      <c r="A31" s="13">
        <v>124577</v>
      </c>
      <c r="B31" s="13" t="s">
        <v>62</v>
      </c>
      <c r="C31" s="13" t="s">
        <v>63</v>
      </c>
      <c r="D31" s="13">
        <v>21</v>
      </c>
    </row>
    <row r="32">
      <c r="A32" s="13"/>
      <c r="B32" s="13"/>
      <c r="C32" s="13"/>
      <c r="D32" s="13"/>
    </row>
    <row r="33">
      <c r="A33" s="13">
        <v>987066</v>
      </c>
      <c r="B33" s="13" t="s">
        <v>64</v>
      </c>
      <c r="C33" s="13" t="s">
        <v>65</v>
      </c>
      <c r="D33" s="13">
        <v>21</v>
      </c>
    </row>
    <row r="34">
      <c r="A34" s="13"/>
      <c r="B34" s="13"/>
      <c r="C34" s="13"/>
      <c r="D34" s="13"/>
    </row>
    <row r="35">
      <c r="A35" s="13">
        <v>667788</v>
      </c>
      <c r="B35" s="13" t="s">
        <v>64</v>
      </c>
      <c r="C35" s="13" t="s">
        <v>66</v>
      </c>
      <c r="D35" s="13">
        <v>321</v>
      </c>
    </row>
    <row r="36">
      <c r="A36" s="13"/>
      <c r="B36" s="13"/>
      <c r="C36" s="13"/>
      <c r="D36" s="13"/>
    </row>
    <row r="37">
      <c r="A37" s="13">
        <v>335578</v>
      </c>
      <c r="B37" s="13" t="s">
        <v>67</v>
      </c>
      <c r="C37" s="13" t="s">
        <v>68</v>
      </c>
      <c r="D37" s="13">
        <v>231</v>
      </c>
    </row>
    <row r="38">
      <c r="A38" s="13"/>
      <c r="B38" s="13"/>
      <c r="C38" s="13"/>
      <c r="D38" s="13"/>
    </row>
    <row r="39">
      <c r="A39" s="13">
        <v>123345</v>
      </c>
      <c r="B39" s="13" t="s">
        <v>67</v>
      </c>
      <c r="C39" s="13" t="s">
        <v>69</v>
      </c>
      <c r="D39" s="13">
        <v>231</v>
      </c>
    </row>
    <row r="40">
      <c r="A40" s="13"/>
      <c r="B40" s="13"/>
      <c r="C40" s="13"/>
      <c r="D40" s="13"/>
    </row>
    <row r="41">
      <c r="A41" s="13">
        <v>345677</v>
      </c>
      <c r="B41" s="13" t="s">
        <v>70</v>
      </c>
      <c r="C41" s="13" t="s">
        <v>71</v>
      </c>
      <c r="D41" s="13">
        <v>234</v>
      </c>
    </row>
    <row r="42">
      <c r="A42" s="13"/>
      <c r="B42" s="13"/>
      <c r="C42" s="13"/>
      <c r="D42" s="13"/>
    </row>
    <row r="43">
      <c r="A43" s="13">
        <v>345789</v>
      </c>
      <c r="B43" s="13" t="s">
        <v>72</v>
      </c>
      <c r="C43" s="13" t="s">
        <v>73</v>
      </c>
      <c r="D43" s="13">
        <v>234</v>
      </c>
    </row>
    <row r="44">
      <c r="A44" s="13"/>
      <c r="B44" s="13"/>
      <c r="C44" s="13"/>
      <c r="D44" s="13"/>
    </row>
    <row r="45">
      <c r="A45" s="13">
        <v>987234</v>
      </c>
      <c r="B45" s="13" t="s">
        <v>74</v>
      </c>
      <c r="C45" s="13" t="s">
        <v>75</v>
      </c>
      <c r="D45" s="13">
        <v>343</v>
      </c>
    </row>
    <row r="46">
      <c r="A46" s="13"/>
      <c r="B46" s="13"/>
      <c r="C46" s="13"/>
      <c r="D46" s="13"/>
    </row>
    <row r="47">
      <c r="A47" s="13">
        <v>567432</v>
      </c>
      <c r="B47" s="13" t="s">
        <v>74</v>
      </c>
      <c r="C47" s="13" t="s">
        <v>76</v>
      </c>
      <c r="D47" s="13">
        <v>34</v>
      </c>
    </row>
    <row r="48">
      <c r="A48" s="13"/>
      <c r="B48" s="13"/>
      <c r="C48" s="13"/>
      <c r="D48" s="13"/>
    </row>
    <row r="49">
      <c r="A49" s="13">
        <v>789654</v>
      </c>
      <c r="B49" s="13" t="s">
        <v>74</v>
      </c>
      <c r="C49" s="13" t="s">
        <v>77</v>
      </c>
      <c r="D49" s="13">
        <v>54</v>
      </c>
    </row>
    <row r="50">
      <c r="A50" s="13"/>
      <c r="B50" s="13"/>
      <c r="C50" s="13"/>
      <c r="D50" s="13"/>
    </row>
    <row r="51">
      <c r="A51" s="13">
        <v>786655</v>
      </c>
      <c r="B51" s="13" t="s">
        <v>78</v>
      </c>
      <c r="C51" s="13" t="s">
        <v>79</v>
      </c>
      <c r="D51" s="13">
        <v>223</v>
      </c>
    </row>
    <row r="52">
      <c r="A52" s="13"/>
      <c r="B52" s="13"/>
      <c r="C52" s="13"/>
      <c r="D52" s="13"/>
    </row>
    <row r="53">
      <c r="A53" s="13">
        <v>443366</v>
      </c>
      <c r="B53" s="13" t="s">
        <v>80</v>
      </c>
      <c r="C53" s="13" t="s">
        <v>81</v>
      </c>
      <c r="D53" s="13">
        <v>123</v>
      </c>
    </row>
    <row r="54">
      <c r="A54" s="13"/>
      <c r="B54" s="13"/>
      <c r="C54" s="13"/>
      <c r="D54" s="13"/>
    </row>
    <row r="55">
      <c r="A55" s="13">
        <v>347890</v>
      </c>
      <c r="B55" s="13" t="s">
        <v>82</v>
      </c>
      <c r="C55" s="13" t="s">
        <v>83</v>
      </c>
      <c r="D55" s="13">
        <v>123</v>
      </c>
    </row>
    <row r="56">
      <c r="A56" s="13"/>
      <c r="B56" s="13"/>
      <c r="C56" s="13"/>
      <c r="D56" s="13"/>
    </row>
    <row r="57">
      <c r="A57" s="13">
        <v>235473</v>
      </c>
      <c r="B57" s="13" t="s">
        <v>82</v>
      </c>
      <c r="C57" s="13" t="s">
        <v>84</v>
      </c>
      <c r="D57" s="13">
        <v>189</v>
      </c>
    </row>
    <row r="58">
      <c r="A58" s="13"/>
      <c r="B58" s="13"/>
      <c r="C58" s="13"/>
      <c r="D58" s="13"/>
    </row>
    <row r="59">
      <c r="A59" s="13">
        <v>123654</v>
      </c>
      <c r="B59" s="13" t="s">
        <v>85</v>
      </c>
      <c r="C59" s="13" t="s">
        <v>86</v>
      </c>
      <c r="D59" s="13">
        <v>178</v>
      </c>
    </row>
    <row r="60">
      <c r="A60" s="13"/>
      <c r="B60" s="13"/>
      <c r="C60" s="13"/>
      <c r="D60" s="13"/>
    </row>
    <row r="61">
      <c r="A61" s="13">
        <v>876555</v>
      </c>
      <c r="B61" s="13" t="s">
        <v>85</v>
      </c>
      <c r="C61" s="13" t="s">
        <v>87</v>
      </c>
      <c r="D61" s="13">
        <v>289</v>
      </c>
    </row>
    <row r="62">
      <c r="A62" s="13"/>
      <c r="B62" s="13"/>
      <c r="C62" s="13"/>
      <c r="D62" s="13"/>
    </row>
    <row r="63">
      <c r="A63" s="13">
        <v>445677</v>
      </c>
      <c r="B63" s="13" t="s">
        <v>88</v>
      </c>
      <c r="C63" s="13" t="s">
        <v>89</v>
      </c>
      <c r="D63" s="13">
        <v>389</v>
      </c>
    </row>
    <row r="64">
      <c r="A64" s="13"/>
      <c r="B64" s="13"/>
      <c r="C64" s="13"/>
      <c r="D64" s="13"/>
    </row>
    <row r="65">
      <c r="A65" s="13">
        <v>665523</v>
      </c>
      <c r="B65" s="13" t="s">
        <v>88</v>
      </c>
      <c r="C65" s="13" t="s">
        <v>90</v>
      </c>
      <c r="D65" s="13">
        <v>289</v>
      </c>
    </row>
    <row r="66">
      <c r="A66" s="13"/>
      <c r="B66" s="13"/>
      <c r="C66" s="13"/>
      <c r="D66" s="13"/>
    </row>
    <row r="67">
      <c r="A67" s="13">
        <v>907866</v>
      </c>
      <c r="B67" s="13" t="s">
        <v>88</v>
      </c>
      <c r="C67" s="13" t="s">
        <v>91</v>
      </c>
      <c r="D67" s="13">
        <v>186</v>
      </c>
    </row>
    <row r="68">
      <c r="A68" s="13"/>
      <c r="B68" s="13"/>
      <c r="C68" s="13"/>
      <c r="D68" s="13"/>
    </row>
    <row r="69">
      <c r="A69" s="13">
        <v>678955</v>
      </c>
      <c r="B69" s="13" t="s">
        <v>92</v>
      </c>
      <c r="C69" s="13" t="s">
        <v>93</v>
      </c>
      <c r="D69" s="13">
        <v>278</v>
      </c>
    </row>
    <row r="70">
      <c r="A70" s="13"/>
      <c r="B70" s="13"/>
      <c r="C70" s="13"/>
      <c r="D70" s="13"/>
    </row>
    <row r="71">
      <c r="A71" s="13">
        <v>456733</v>
      </c>
      <c r="B71" s="13" t="s">
        <v>94</v>
      </c>
      <c r="C71" s="13" t="s">
        <v>95</v>
      </c>
      <c r="D71" s="13">
        <v>378</v>
      </c>
    </row>
    <row r="72">
      <c r="A72" s="13"/>
      <c r="B72" s="13"/>
      <c r="C72" s="13"/>
      <c r="D72" s="13"/>
    </row>
    <row r="73">
      <c r="A73" s="13">
        <v>554677</v>
      </c>
      <c r="B73" s="13" t="s">
        <v>96</v>
      </c>
      <c r="C73" s="13" t="s">
        <v>97</v>
      </c>
      <c r="D73" s="13">
        <v>27</v>
      </c>
    </row>
    <row r="74">
      <c r="A74" s="13"/>
      <c r="B74" s="13"/>
      <c r="C74" s="13"/>
      <c r="D74" s="13"/>
    </row>
    <row r="75">
      <c r="A75" s="13">
        <v>334466</v>
      </c>
      <c r="B75" s="13" t="s">
        <v>98</v>
      </c>
      <c r="C75" s="13" t="s">
        <v>99</v>
      </c>
      <c r="D75" s="13">
        <v>387</v>
      </c>
    </row>
    <row r="76">
      <c r="A76" s="13"/>
      <c r="B76" s="13"/>
      <c r="C76" s="13"/>
      <c r="D76" s="13"/>
    </row>
    <row r="77">
      <c r="A77" s="13">
        <v>889906</v>
      </c>
      <c r="B77" s="13" t="s">
        <v>98</v>
      </c>
      <c r="C77" s="13" t="s">
        <v>100</v>
      </c>
      <c r="D77" s="13">
        <v>188</v>
      </c>
    </row>
    <row r="78">
      <c r="A78" s="13"/>
      <c r="B78" s="13"/>
      <c r="C78" s="13"/>
      <c r="D78" s="13"/>
    </row>
    <row r="79">
      <c r="A79" s="13">
        <v>234567</v>
      </c>
      <c r="B79" s="13" t="s">
        <v>98</v>
      </c>
      <c r="C79" s="13" t="s">
        <v>101</v>
      </c>
      <c r="D79" s="13">
        <v>288</v>
      </c>
    </row>
    <row r="80">
      <c r="A80" s="13"/>
      <c r="B80" s="13"/>
      <c r="C80" s="13"/>
      <c r="D80" s="13"/>
    </row>
    <row r="81">
      <c r="A81" s="13">
        <v>986543</v>
      </c>
      <c r="B81" s="13" t="s">
        <v>98</v>
      </c>
      <c r="C81" s="13" t="s">
        <v>102</v>
      </c>
      <c r="D81" s="13">
        <v>178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0" verticalDpi="0" copies="1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15" workbookViewId="0">
      <selection activeCell="J7" activeCellId="0" sqref="J7"/>
    </sheetView>
  </sheetViews>
  <sheetFormatPr baseColWidth="10" defaultRowHeight="14.5"/>
  <cols>
    <col customWidth="1" min="1" max="1" width="9.54296875"/>
    <col customWidth="1" min="2" max="2" width="24.453125"/>
    <col customWidth="1" min="3" max="3" width="26"/>
    <col customWidth="1" min="4" max="4" width="16"/>
    <col customWidth="1" min="5" max="5" width="2.7265625"/>
  </cols>
  <sheetData>
    <row r="1" ht="15.5">
      <c r="A1" s="27" t="s">
        <v>103</v>
      </c>
      <c r="B1" s="27" t="s">
        <v>104</v>
      </c>
      <c r="C1" s="27" t="s">
        <v>105</v>
      </c>
      <c r="D1" s="27" t="s">
        <v>106</v>
      </c>
    </row>
    <row r="2">
      <c r="A2" s="28">
        <v>124567</v>
      </c>
      <c r="B2" s="28"/>
      <c r="C2" s="28"/>
      <c r="D2" s="28"/>
    </row>
    <row r="3">
      <c r="A3" s="29">
        <v>124577</v>
      </c>
      <c r="B3" s="29"/>
      <c r="C3" s="29"/>
      <c r="D3" s="29"/>
    </row>
    <row r="4">
      <c r="A4" s="28">
        <v>347890</v>
      </c>
      <c r="B4" s="28"/>
      <c r="C4" s="28"/>
      <c r="D4" s="28"/>
    </row>
    <row r="5">
      <c r="A5" s="29">
        <v>443366</v>
      </c>
      <c r="B5" s="29"/>
      <c r="C5" s="29"/>
      <c r="D5" s="29"/>
    </row>
    <row r="6">
      <c r="A6" s="28">
        <v>554677</v>
      </c>
      <c r="B6" s="28"/>
      <c r="C6" s="28"/>
      <c r="D6" s="28"/>
    </row>
    <row r="7">
      <c r="A7" s="29">
        <v>567432</v>
      </c>
      <c r="B7" s="29"/>
      <c r="C7" s="29"/>
      <c r="D7" s="29"/>
    </row>
    <row r="8">
      <c r="A8" s="28">
        <v>789654</v>
      </c>
      <c r="B8" s="28"/>
      <c r="C8" s="28"/>
      <c r="D8" s="28"/>
    </row>
    <row r="9">
      <c r="A9" s="29">
        <v>875521</v>
      </c>
      <c r="B9" s="29"/>
      <c r="C9" s="29"/>
      <c r="D9" s="29"/>
    </row>
    <row r="10">
      <c r="A10" s="28">
        <v>987066</v>
      </c>
      <c r="B10" s="28"/>
      <c r="C10" s="28"/>
      <c r="D10" s="28"/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0" verticalDpi="0" copies="1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ONLYOFFICE/9.2.1.43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Lic. Denisse E. Reyes Huerta</dc:creator>
  <cp:revision>1</cp:revision>
  <dcterms:created xsi:type="dcterms:W3CDTF">2018-09-01T00:56:22Z</dcterms:created>
  <dcterms:modified xsi:type="dcterms:W3CDTF">2026-03-15T04:17:17Z</dcterms:modified>
</cp:coreProperties>
</file>